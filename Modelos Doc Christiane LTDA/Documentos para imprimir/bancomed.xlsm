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\Desktop\modelosdoc-main\modelosdoc-main\Modelos Doc Christiane LTDA\"/>
    </mc:Choice>
  </mc:AlternateContent>
  <xr:revisionPtr revIDLastSave="0" documentId="13_ncr:1_{1F73895F-BA17-439E-9735-FF3500981357}" xr6:coauthVersionLast="47" xr6:coauthVersionMax="47" xr10:uidLastSave="{00000000-0000-0000-0000-000000000000}"/>
  <bookViews>
    <workbookView xWindow="-120" yWindow="-120" windowWidth="20730" windowHeight="1116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0" i="2" l="1" a="1"/>
  <c r="Q20" i="2" s="1"/>
  <c r="P20" i="2" a="1"/>
  <c r="P2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<sst xmlns="http://schemas.openxmlformats.org/spreadsheetml/2006/main" count="73" uniqueCount="56">
  <si>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</si>
  <si>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</si>
  <si>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</si>
  <si>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</si>
  <si>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</si>
  <si>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</si>
  <si>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</si>
  <si>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</si>
  <si>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</si>
  <si>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</si>
  <si>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</si>
  <si>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</si>
  <si>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</si>
  <si>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</si>
  <si>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</si>
  <si>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</si>
  <si>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</si>
  <si>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</si>
  <si>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</si>
  <si>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</si>
  <si>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</si>
  <si>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</si>
  <si>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</si>
  <si>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</si>
  <si>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</si>
  <si>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</si>
  <si>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</si>
  <si>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</si>
  <si>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</si>
  <si>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</si>
  <si>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</si>
  <si>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</si>
  <si>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</si>
  <si>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</si>
  <si>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</si>
  <si>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</si>
  <si>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</si>
  <si>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</si>
  <si>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</si>
  <si>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ID001</t>
  </si>
  <si>
    <t/>
  </si>
  <si>
    <t>Sexo</t>
  </si>
  <si>
    <t>ATESTADO MÉDICO</t>
  </si>
  <si>
    <t>Data da Consulta</t>
  </si>
  <si>
    <t>Hora Inicial</t>
  </si>
  <si>
    <t>Hora Final</t>
  </si>
  <si>
    <t>Dias de Rep</t>
  </si>
  <si>
    <t>INFORMAÇÕES DO PACIENTE</t>
  </si>
  <si>
    <t>ID002</t>
  </si>
  <si>
    <t>Malcolm Wallace Lopes Soragi</t>
  </si>
  <si>
    <t>ID003</t>
  </si>
  <si>
    <t>Pedro Gonçalves</t>
  </si>
  <si>
    <t>ID004</t>
  </si>
  <si>
    <t>ID005</t>
  </si>
  <si>
    <t>ID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</si>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</sst>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rial Black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Aharoni"/>
      <charset val="177"/>
    </font>
    <font>
      <sz val="16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14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8" fillId="0" borderId="0" xfId="0" applyFont="1" applyAlignment="1">
      <alignment horizontal="center"/>
    </xf>
    <xf numFmtId="0" fontId="7" fillId="0" borderId="0" xfId="0" applyFont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1" xfId="0" applyNumberFormat="1" applyBorder="1"/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0" fontId="0" fillId="0" borderId="1" xfId="0" applyNumberForma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rgb="FF9C0006"/>
      </font>
    </dxf>
    <dxf>
      <numFmt numFmtId="164" formatCode="[$-F400]h:mm:ss\ AM/PM"/>
    </dxf>
    <dxf>
      <numFmt numFmtId="164" formatCode="[$-F400]h:mm:ss\ AM/P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68</xdr:row>
      <xdr:rowOff>188406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1952625</xdr:colOff>
          <xdr:row>4</xdr:row>
          <xdr:rowOff>142875</xdr:rowOff>
        </xdr:from>
        <xdr:to>
          <xdr:col>17</xdr:col>
          <xdr:colOff>180975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1933575</xdr:colOff>
          <xdr:row>8</xdr:row>
          <xdr:rowOff>104775</xdr:rowOff>
        </xdr:from>
        <xdr:to>
          <xdr:col>17</xdr:col>
          <xdr:colOff>190500</xdr:colOff>
          <xdr:row>10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8</xdr:row>
          <xdr:rowOff>114300</xdr:rowOff>
        </xdr:from>
        <xdr:to>
          <xdr:col>15</xdr:col>
          <xdr:colOff>1504950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85725</xdr:rowOff>
        </xdr:from>
        <xdr:to>
          <xdr:col>15</xdr:col>
          <xdr:colOff>1514475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1952625</xdr:colOff>
          <xdr:row>1</xdr:row>
          <xdr:rowOff>76200</xdr:rowOff>
        </xdr:from>
        <xdr:to>
          <xdr:col>17</xdr:col>
          <xdr:colOff>200025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15</xdr:col>
          <xdr:colOff>1504950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19050</xdr:rowOff>
        </xdr:from>
        <xdr:to>
          <xdr:col>17</xdr:col>
          <xdr:colOff>19050</xdr:colOff>
          <xdr:row>16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BUSCAR PACIENTE/ID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502417</xdr:colOff>
      <xdr:row>0</xdr:row>
      <xdr:rowOff>188406</xdr:rowOff>
    </xdr:from>
    <xdr:to>
      <xdr:col>14</xdr:col>
      <xdr:colOff>157005</xdr:colOff>
      <xdr:row>8</xdr:row>
      <xdr:rowOff>81304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417" y="188406"/>
          <a:ext cx="8153819" cy="1400151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485776</xdr:colOff>
      <xdr:row>65</xdr:row>
      <xdr:rowOff>157006</xdr:rowOff>
    </xdr:from>
    <xdr:to>
      <xdr:col>14</xdr:col>
      <xdr:colOff>1</xdr:colOff>
      <xdr:row>68</xdr:row>
      <xdr:rowOff>177940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5776" y="13942088"/>
          <a:ext cx="8013456" cy="58615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04F790-239B-44F4-BA4A-F545DEE009D3}" name="Tabela1" displayName="Tabela1" ref="A1:AA2" insertRow="1" totalsRowShown="0" headerRowDxfId="3">
  <autoFilter ref="A1:AA2" xr:uid="{4104F790-239B-44F4-BA4A-F545DEE009D3}"/>
  <tableColumns count="27">
    <tableColumn id="1" xr3:uid="{84BF4DA2-70E3-46A0-9925-ED517FACBCEC}" name="Registro"/>
    <tableColumn id="2" xr3:uid="{9F28269A-1E39-490B-902B-5EB4757DD62E}" name="Nome"/>
    <tableColumn id="3" xr3:uid="{8E323448-A677-42AC-A833-FD122B3B1B23}" name="DN"/>
    <tableColumn id="4" xr3:uid="{57D1E617-6BC0-4817-828A-6B19EA065F0F}" name="Estado Civil"/>
    <tableColumn id="5" xr3:uid="{AC58564B-B370-4FC1-9B0C-2AE059D25A6F}" name="Ocupação"/>
    <tableColumn id="6" xr3:uid="{2B6C7FBC-862B-4178-8134-0BD33DFE4D12}" name="Naturalidade"/>
    <tableColumn id="7" xr3:uid="{70AC3E02-3EB4-4CDC-910C-4DAB3769E9D9}" name="Escolaridade"/>
    <tableColumn id="8" xr3:uid="{28D48326-9A65-4903-982B-8A2384E3C80D}" name="Nome da Mãe"/>
    <tableColumn id="9" xr3:uid="{9F3C52CC-D75A-41ED-9FE1-B53DD6661987}" name="Nome do Pai"/>
    <tableColumn id="10" xr3:uid="{229FC95A-AF80-4D77-B97E-E86D32E0E9BC}" name="RG"/>
    <tableColumn id="11" xr3:uid="{FDA830AE-8F0C-427E-A2CE-31B64EA7807D}" name="CPF"/>
    <tableColumn id="12" xr3:uid="{F99136B3-0B99-448C-B82A-5E77B2B4D5AF}" name="Outros Documentos"/>
    <tableColumn id="13" xr3:uid="{6440D03E-7472-4C46-8143-986336790436}" name="Endereço"/>
    <tableColumn id="14" xr3:uid="{76AA0573-7C52-401C-9224-7858E82AB46F}" name="Cidade"/>
    <tableColumn id="15" xr3:uid="{753C2951-F2EE-4FAE-B8A0-B39DD3BBAC9E}" name="Bairro"/>
    <tableColumn id="16" xr3:uid="{2CA6C13C-54FE-4301-BBFF-90EC87BA3C10}" name="Cep"/>
    <tableColumn id="17" xr3:uid="{6264E41E-E615-4DE4-BA55-040B04E86ED3}" name="Telefone"/>
    <tableColumn id="18" xr3:uid="{ED2A7AB7-5ACE-417E-9AC8-CB716832E1EB}" name="Celular 1"/>
    <tableColumn id="19" xr3:uid="{D11DA335-1BB9-4C91-86A0-63A2CCC9764C}" name="Celular 2"/>
    <tableColumn id="20" xr3:uid="{AF43ED5D-BC8C-4D3B-8B41-8ACDA42C890C}" name="Anamnese"/>
    <tableColumn id="21" xr3:uid="{70F3A1F7-41CF-4D0E-9699-D68F97DC7240}" name="Data"/>
    <tableColumn id="22" xr3:uid="{A67F98F6-CFC3-4398-B1CC-E8C11B133296}" name="Data_da_Consulta"/>
    <tableColumn id="23" xr3:uid="{09AF51CD-1262-4D9D-A44B-5D0AF97FF6BF}" name="Hora_Inicial_da_Consulta" dataDxfId="2"/>
    <tableColumn id="24" xr3:uid="{4DE069C0-E899-4CAF-995D-91590C1D29DE}" name="Hora_Final_da_Consulta" dataDxfId="1"/>
    <tableColumn id="25" xr3:uid="{27AE7786-3413-4BF3-9C13-18E032A35D36}" name="Dias_de_Repouso"/>
    <tableColumn id="26" xr3:uid="{7DC3C263-AB7E-4150-A38E-27F8D2DDE199}" name="CID"/>
    <tableColumn id="27" xr3:uid="{076CBA42-642A-4F8A-B8CF-170C41C22427}" name="Sex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S79"/>
  <sheetViews>
    <sheetView showGridLines="0" showRowColHeaders="0" tabSelected="1" topLeftCell="A7" zoomScale="91" workbookViewId="0">
      <selection activeCell="P15" sqref="P15"/>
    </sheetView>
  </sheetViews>
  <sheetFormatPr defaultRowHeight="15" x14ac:dyDescent="0.25"/>
  <cols>
    <col min="16" max="16" width="30.140625" bestFit="1" customWidth="1"/>
    <col min="17" max="17" width="20.7109375" bestFit="1" customWidth="1"/>
    <col min="18" max="18" width="6.140625" bestFit="1" customWidth="1"/>
    <col min="19" max="19" width="7" bestFit="1" customWidth="1"/>
    <col min="20" max="20" width="10.7109375" bestFit="1" customWidth="1"/>
  </cols>
  <sheetData>
    <row r="1" spans="2:19" x14ac:dyDescent="0.25">
      <c r="E1" t="s">
        <v>39</v>
      </c>
    </row>
    <row r="9" spans="2:19" ht="21" x14ac:dyDescent="0.35">
      <c r="N9" s="10" t="s">
        <v>52</v>
      </c>
    </row>
    <row r="11" spans="2:19" ht="23.25" x14ac:dyDescent="0.35">
      <c r="B11" s="2" t="s">
        <v>10</v>
      </c>
      <c r="K11" s="2" t="s">
        <v>11</v>
      </c>
    </row>
    <row r="12" spans="2:19" x14ac:dyDescent="0.25">
      <c r="B12" s="24" t="s">
        <v>51</v>
      </c>
      <c r="C12" s="25"/>
      <c r="D12" s="25"/>
      <c r="E12" s="25"/>
      <c r="F12" s="25"/>
      <c r="G12" s="25"/>
      <c r="H12" s="25"/>
      <c r="I12" s="26"/>
      <c r="K12" s="27"/>
      <c r="L12" s="25"/>
      <c r="M12" s="25"/>
      <c r="N12" s="26"/>
    </row>
    <row r="13" spans="2:19" ht="27.75" x14ac:dyDescent="0.5">
      <c r="P13" s="29"/>
      <c r="Q13" s="29"/>
      <c r="R13" s="9"/>
      <c r="S13" s="9"/>
    </row>
    <row r="14" spans="2:19" ht="23.25" x14ac:dyDescent="0.35">
      <c r="B14" s="2" t="s">
        <v>12</v>
      </c>
      <c r="G14" s="2" t="s">
        <v>13</v>
      </c>
      <c r="K14" s="2" t="s">
        <v>14</v>
      </c>
      <c r="P14" s="24" t="s">
        <v>52</v>
      </c>
      <c r="Q14" s="26"/>
    </row>
    <row r="15" spans="2:19" ht="15.75" customHeight="1" x14ac:dyDescent="0.25">
      <c r="B15" s="24"/>
      <c r="C15" s="25"/>
      <c r="D15" s="26"/>
      <c r="G15" s="24"/>
      <c r="H15" s="25"/>
      <c r="I15" s="26"/>
      <c r="K15" s="24"/>
      <c r="L15" s="25"/>
      <c r="M15" s="25"/>
      <c r="N15" s="26"/>
    </row>
    <row r="16" spans="2:19" ht="15.75" x14ac:dyDescent="0.25">
      <c r="C16" s="5"/>
    </row>
    <row r="18" spans="2:17" ht="26.25" x14ac:dyDescent="0.4">
      <c r="B18" s="2" t="s">
        <v>15</v>
      </c>
      <c r="C18" s="2"/>
      <c r="K18" s="2" t="s">
        <v>16</v>
      </c>
      <c r="P18" s="28" t="s">
        <v>47</v>
      </c>
      <c r="Q18" s="28"/>
    </row>
    <row r="19" spans="2:17" x14ac:dyDescent="0.25">
      <c r="B19" s="24"/>
      <c r="C19" s="25"/>
      <c r="D19" s="25"/>
      <c r="E19" s="25"/>
      <c r="F19" s="25"/>
      <c r="G19" s="26"/>
      <c r="K19" s="24"/>
      <c r="L19" s="25"/>
      <c r="M19" s="25"/>
      <c r="N19" s="26"/>
      <c r="P19" s="34" t="s">
        <v>54</v>
      </c>
      <c r="Q19" s="34" t="s">
        <v>55</v>
      </c>
    </row>
    <row r="20" spans="2:17" x14ac:dyDescent="0.25">
      <c r="P20" t="str" cm="1">
        <f t="array" ref="P20:P22">_xlfn._xlws.FILTER(bancodedados!A1:A148000, bancodedados!B1:B148000=Welcome!B12, "Nada encontrado")</f>
        <v>ID003</v>
      </c>
      <c r="Q20" s="6" t="str" cm="1">
        <f t="array" ref="Q20:Q22">IF(_xlfn._xlws.FILTER(bancodedados!U1:U148000, bancodedados!B1:B148000=Welcome!B12,"")="", "Data em Branco", _xlfn._xlws.FILTER(bancodedados!U1:U148000, bancodedados!B1:B148000=Welcome!B12, ""))</f>
        <v>Data em Branco</v>
      </c>
    </row>
    <row r="21" spans="2:17" ht="23.25" x14ac:dyDescent="0.35">
      <c r="B21" s="2" t="s">
        <v>17</v>
      </c>
      <c r="P21" t="str">
        <v>ID004</v>
      </c>
      <c r="Q21" s="6" t="str">
        <v>Data em Branco</v>
      </c>
    </row>
    <row r="22" spans="2:17" x14ac:dyDescent="0.25">
      <c r="B22" s="24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6"/>
      <c r="P22" t="str">
        <v>ID005</v>
      </c>
      <c r="Q22" s="6">
        <v>45950</v>
      </c>
    </row>
    <row r="23" spans="2:17" ht="23.25" x14ac:dyDescent="0.35">
      <c r="B23" s="2" t="s">
        <v>18</v>
      </c>
      <c r="Q23" s="6"/>
    </row>
    <row r="24" spans="2:17" x14ac:dyDescent="0.25">
      <c r="B24" s="24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6"/>
      <c r="Q24" s="6"/>
    </row>
    <row r="25" spans="2:17" ht="23.25" x14ac:dyDescent="0.35">
      <c r="B25" s="2" t="s">
        <v>19</v>
      </c>
      <c r="F25" s="2" t="s">
        <v>20</v>
      </c>
      <c r="J25" s="2" t="s">
        <v>38</v>
      </c>
      <c r="Q25" s="6"/>
    </row>
    <row r="26" spans="2:17" x14ac:dyDescent="0.25">
      <c r="B26" s="24"/>
      <c r="C26" s="25"/>
      <c r="D26" s="26"/>
      <c r="F26" s="24"/>
      <c r="G26" s="25"/>
      <c r="H26" s="26"/>
      <c r="J26" s="24"/>
      <c r="K26" s="25"/>
      <c r="L26" s="25"/>
      <c r="M26" s="25"/>
      <c r="N26" s="26"/>
      <c r="Q26" s="6"/>
    </row>
    <row r="27" spans="2:17" ht="23.25" x14ac:dyDescent="0.35">
      <c r="B27" s="2" t="s">
        <v>21</v>
      </c>
      <c r="Q27" s="6"/>
    </row>
    <row r="28" spans="2:17" x14ac:dyDescent="0.25">
      <c r="B28" s="24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6"/>
      <c r="Q28" s="6"/>
    </row>
    <row r="29" spans="2:17" ht="23.25" x14ac:dyDescent="0.35">
      <c r="B29" s="2" t="s">
        <v>22</v>
      </c>
      <c r="G29" s="2" t="s">
        <v>23</v>
      </c>
      <c r="K29" s="2" t="s">
        <v>24</v>
      </c>
      <c r="Q29" s="6"/>
    </row>
    <row r="30" spans="2:17" x14ac:dyDescent="0.25">
      <c r="B30" s="24"/>
      <c r="C30" s="25"/>
      <c r="D30" s="25"/>
      <c r="E30" s="26"/>
      <c r="G30" s="24"/>
      <c r="H30" s="25"/>
      <c r="I30" s="26"/>
      <c r="K30" s="24"/>
      <c r="L30" s="25"/>
      <c r="M30" s="25"/>
      <c r="N30" s="26"/>
      <c r="Q30" s="6"/>
    </row>
    <row r="31" spans="2:17" ht="23.25" x14ac:dyDescent="0.35">
      <c r="B31" s="2" t="s">
        <v>25</v>
      </c>
      <c r="F31" s="2" t="s">
        <v>26</v>
      </c>
      <c r="J31" s="2" t="s">
        <v>27</v>
      </c>
      <c r="Q31" s="6"/>
    </row>
    <row r="32" spans="2:17" x14ac:dyDescent="0.25">
      <c r="B32" s="24"/>
      <c r="C32" s="25"/>
      <c r="D32" s="26"/>
      <c r="F32" s="24"/>
      <c r="G32" s="25"/>
      <c r="H32" s="26"/>
      <c r="I32" s="4" t="s">
        <v>40</v>
      </c>
      <c r="J32" s="24"/>
      <c r="K32" s="25"/>
      <c r="L32" s="26"/>
      <c r="Q32" s="6"/>
    </row>
    <row r="33" spans="2:17" ht="23.25" x14ac:dyDescent="0.35">
      <c r="B33" s="2" t="s">
        <v>28</v>
      </c>
      <c r="Q33" s="6"/>
    </row>
    <row r="34" spans="2:17" ht="28.5" x14ac:dyDescent="0.45">
      <c r="B34" s="11" t="s">
        <v>29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Q34" s="6"/>
    </row>
    <row r="35" spans="2:17" x14ac:dyDescent="0.25">
      <c r="B35" s="15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7"/>
      <c r="Q35" s="6"/>
    </row>
    <row r="36" spans="2:17" x14ac:dyDescent="0.25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20"/>
      <c r="Q36" s="6"/>
    </row>
    <row r="37" spans="2:17" x14ac:dyDescent="0.25">
      <c r="B37" s="18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20"/>
      <c r="Q37" s="6"/>
    </row>
    <row r="38" spans="2:17" x14ac:dyDescent="0.25"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20"/>
      <c r="Q38" s="6"/>
    </row>
    <row r="39" spans="2:17" x14ac:dyDescent="0.25"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20"/>
      <c r="Q39" s="6"/>
    </row>
    <row r="40" spans="2:17" x14ac:dyDescent="0.25"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20"/>
      <c r="Q40" s="6"/>
    </row>
    <row r="41" spans="2:17" x14ac:dyDescent="0.25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20"/>
      <c r="Q41" s="6"/>
    </row>
    <row r="42" spans="2:17" x14ac:dyDescent="0.25"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20"/>
      <c r="Q42" s="6"/>
    </row>
    <row r="43" spans="2:17" x14ac:dyDescent="0.25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20"/>
      <c r="Q43" s="6"/>
    </row>
    <row r="44" spans="2:17" x14ac:dyDescent="0.25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20"/>
      <c r="Q44" s="6"/>
    </row>
    <row r="45" spans="2:17" x14ac:dyDescent="0.25"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20"/>
      <c r="Q45" s="6"/>
    </row>
    <row r="46" spans="2:17" x14ac:dyDescent="0.2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20"/>
      <c r="Q46" s="6"/>
    </row>
    <row r="47" spans="2:17" x14ac:dyDescent="0.25"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20"/>
      <c r="Q47" s="6"/>
    </row>
    <row r="48" spans="2:17" x14ac:dyDescent="0.25"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20"/>
      <c r="Q48" s="6"/>
    </row>
    <row r="49" spans="2:17" x14ac:dyDescent="0.25"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20"/>
      <c r="Q49" s="6"/>
    </row>
    <row r="50" spans="2:17" x14ac:dyDescent="0.25"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20"/>
      <c r="Q50" s="6"/>
    </row>
    <row r="51" spans="2:17" x14ac:dyDescent="0.25"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20"/>
      <c r="Q51" s="6"/>
    </row>
    <row r="52" spans="2:17" x14ac:dyDescent="0.2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20"/>
      <c r="Q52" s="6"/>
    </row>
    <row r="53" spans="2:17" x14ac:dyDescent="0.25"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20"/>
      <c r="Q53" s="6"/>
    </row>
    <row r="54" spans="2:17" x14ac:dyDescent="0.25"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20"/>
      <c r="Q54" s="6"/>
    </row>
    <row r="55" spans="2:17" x14ac:dyDescent="0.25"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20"/>
      <c r="Q55" s="6"/>
    </row>
    <row r="56" spans="2:17" x14ac:dyDescent="0.25"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20"/>
      <c r="Q56" s="6"/>
    </row>
    <row r="57" spans="2:17" x14ac:dyDescent="0.25"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20"/>
      <c r="Q57" s="6"/>
    </row>
    <row r="58" spans="2:17" x14ac:dyDescent="0.2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3"/>
      <c r="Q58" s="6"/>
    </row>
    <row r="60" spans="2:17" x14ac:dyDescent="0.25">
      <c r="B60" t="s">
        <v>30</v>
      </c>
      <c r="D60" s="12"/>
      <c r="E60" s="13"/>
    </row>
    <row r="61" spans="2:17" ht="15.75" thickBot="1" x14ac:dyDescent="0.3">
      <c r="I61" s="3"/>
      <c r="J61" s="3"/>
      <c r="K61" s="3"/>
      <c r="L61" s="3"/>
      <c r="M61" s="3"/>
    </row>
    <row r="63" spans="2:17" x14ac:dyDescent="0.25">
      <c r="I63" s="14" t="s">
        <v>31</v>
      </c>
      <c r="J63" s="14"/>
      <c r="K63" s="14"/>
      <c r="L63" s="14"/>
      <c r="M63" s="14"/>
    </row>
    <row r="64" spans="2:17" x14ac:dyDescent="0.25">
      <c r="I64" s="14" t="s">
        <v>32</v>
      </c>
      <c r="J64" s="14"/>
      <c r="K64" s="14"/>
      <c r="L64" s="14"/>
      <c r="M64" s="14"/>
    </row>
    <row r="72" spans="2:14" ht="21" x14ac:dyDescent="0.35">
      <c r="B72" s="30" t="s">
        <v>42</v>
      </c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2"/>
    </row>
    <row r="75" spans="2:14" ht="23.25" x14ac:dyDescent="0.35">
      <c r="B75" s="2" t="s">
        <v>43</v>
      </c>
      <c r="F75" s="2" t="s">
        <v>44</v>
      </c>
      <c r="I75" s="2" t="s">
        <v>45</v>
      </c>
      <c r="K75" s="2"/>
      <c r="L75" s="2" t="s">
        <v>46</v>
      </c>
    </row>
    <row r="76" spans="2:14" x14ac:dyDescent="0.25">
      <c r="B76" s="27"/>
      <c r="C76" s="25"/>
      <c r="D76" s="26"/>
      <c r="F76" s="33"/>
      <c r="G76" s="26"/>
      <c r="I76" s="33"/>
      <c r="J76" s="26"/>
      <c r="L76" s="24"/>
      <c r="M76" s="26"/>
    </row>
    <row r="78" spans="2:14" ht="23.25" x14ac:dyDescent="0.35">
      <c r="B78" s="2" t="s">
        <v>5</v>
      </c>
    </row>
    <row r="79" spans="2:14" x14ac:dyDescent="0.25">
      <c r="B79" s="24"/>
      <c r="C79" s="26"/>
    </row>
  </sheetData>
  <mergeCells count="33">
    <mergeCell ref="P18:Q18"/>
    <mergeCell ref="P13:Q13"/>
    <mergeCell ref="P14:Q14"/>
    <mergeCell ref="B79:C79"/>
    <mergeCell ref="B72:N72"/>
    <mergeCell ref="B76:D76"/>
    <mergeCell ref="F76:G76"/>
    <mergeCell ref="I76:J76"/>
    <mergeCell ref="L76:M76"/>
    <mergeCell ref="B26:D26"/>
    <mergeCell ref="F26:H26"/>
    <mergeCell ref="J26:N26"/>
    <mergeCell ref="B28:N28"/>
    <mergeCell ref="B30:E30"/>
    <mergeCell ref="G30:I30"/>
    <mergeCell ref="K30:N30"/>
    <mergeCell ref="B32:D32"/>
    <mergeCell ref="F32:H32"/>
    <mergeCell ref="K12:N12"/>
    <mergeCell ref="K19:N19"/>
    <mergeCell ref="B22:N22"/>
    <mergeCell ref="B12:I12"/>
    <mergeCell ref="B24:N24"/>
    <mergeCell ref="G15:I15"/>
    <mergeCell ref="K15:N15"/>
    <mergeCell ref="B19:G19"/>
    <mergeCell ref="B15:D15"/>
    <mergeCell ref="J32:L32"/>
    <mergeCell ref="B34:N34"/>
    <mergeCell ref="D60:E60"/>
    <mergeCell ref="I63:M63"/>
    <mergeCell ref="I64:M64"/>
    <mergeCell ref="B35:N5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15</xdr:col>
                    <xdr:colOff>1952625</xdr:colOff>
                    <xdr:row>4</xdr:row>
                    <xdr:rowOff>142875</xdr:rowOff>
                  </from>
                  <to>
                    <xdr:col>17</xdr:col>
                    <xdr:colOff>180975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15</xdr:col>
                    <xdr:colOff>1933575</xdr:colOff>
                    <xdr:row>8</xdr:row>
                    <xdr:rowOff>104775</xdr:rowOff>
                  </from>
                  <to>
                    <xdr:col>17</xdr:col>
                    <xdr:colOff>190500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15</xdr:col>
                    <xdr:colOff>1504950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15</xdr:col>
                    <xdr:colOff>1514475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15</xdr:col>
                    <xdr:colOff>1952625</xdr:colOff>
                    <xdr:row>1</xdr:row>
                    <xdr:rowOff>76200</xdr:rowOff>
                  </from>
                  <to>
                    <xdr:col>17</xdr:col>
                    <xdr:colOff>200025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15</xdr:col>
                    <xdr:colOff>1504950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uscarPorID">
                <anchor moveWithCells="1" sizeWithCells="1">
                  <from>
                    <xdr:col>15</xdr:col>
                    <xdr:colOff>0</xdr:colOff>
                    <xdr:row>14</xdr:row>
                    <xdr:rowOff>19050</xdr:rowOff>
                  </from>
                  <to>
                    <xdr:col>17</xdr:col>
                    <xdr:colOff>19050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6"/>
  <sheetViews>
    <sheetView workbookViewId="0">
      <selection activeCell="A6" sqref="A6"/>
    </sheetView>
  </sheetViews>
  <sheetFormatPr defaultRowHeight="15" x14ac:dyDescent="0.25"/>
  <cols>
    <col min="1" max="1" width="10.42578125" customWidth="1"/>
    <col min="2" max="2" width="29.28515625" customWidth="1"/>
    <col min="3" max="3" width="17.5703125" customWidth="1"/>
    <col min="4" max="4" width="13.28515625" customWidth="1"/>
    <col min="5" max="5" width="11.7109375" customWidth="1"/>
    <col min="6" max="6" width="14.7109375" customWidth="1"/>
    <col min="7" max="7" width="14.28515625" customWidth="1"/>
    <col min="8" max="8" width="15.5703125" customWidth="1"/>
    <col min="9" max="9" width="14.42578125" customWidth="1"/>
    <col min="10" max="10" width="10.140625" bestFit="1" customWidth="1"/>
    <col min="11" max="11" width="12" bestFit="1" customWidth="1"/>
    <col min="12" max="12" width="20.7109375" customWidth="1"/>
    <col min="13" max="13" width="28.42578125" customWidth="1"/>
    <col min="14" max="14" width="9.28515625" customWidth="1"/>
    <col min="17" max="17" width="11.140625" customWidth="1"/>
    <col min="18" max="19" width="10.85546875" customWidth="1"/>
    <col min="20" max="20" width="104.5703125" bestFit="1" customWidth="1"/>
    <col min="21" max="21" width="10.7109375" bestFit="1" customWidth="1"/>
    <col min="22" max="22" width="19" customWidth="1"/>
    <col min="23" max="23" width="25.42578125" style="7" customWidth="1"/>
    <col min="24" max="24" width="24.42578125" style="7" customWidth="1"/>
    <col min="25" max="25" width="18.85546875" customWidth="1"/>
  </cols>
  <sheetData>
    <row r="1" spans="1:27" x14ac:dyDescent="0.25">
      <c r="A1" s="1" t="s">
        <v>9</v>
      </c>
      <c r="B1" s="1" t="s">
        <v>0</v>
      </c>
      <c r="C1" s="1" t="s">
        <v>8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33</v>
      </c>
      <c r="K1" s="1" t="s">
        <v>20</v>
      </c>
      <c r="L1" s="1" t="s">
        <v>38</v>
      </c>
      <c r="M1" s="1" t="s">
        <v>7</v>
      </c>
      <c r="N1" s="1" t="s">
        <v>22</v>
      </c>
      <c r="O1" s="1" t="s">
        <v>23</v>
      </c>
      <c r="P1" s="1" t="s">
        <v>34</v>
      </c>
      <c r="Q1" s="1" t="s">
        <v>35</v>
      </c>
      <c r="R1" s="1" t="s">
        <v>36</v>
      </c>
      <c r="S1" s="1" t="s">
        <v>27</v>
      </c>
      <c r="T1" s="1" t="s">
        <v>37</v>
      </c>
      <c r="U1" s="1" t="s">
        <v>6</v>
      </c>
      <c r="V1" s="1" t="s">
        <v>3</v>
      </c>
      <c r="W1" s="8" t="s">
        <v>1</v>
      </c>
      <c r="X1" s="8" t="s">
        <v>2</v>
      </c>
      <c r="Y1" s="1" t="s">
        <v>4</v>
      </c>
      <c r="Z1" s="1" t="s">
        <v>5</v>
      </c>
      <c r="AA1" s="1" t="s">
        <v>41</v>
      </c>
    </row>
    <row r="3" spans="1:27" x14ac:dyDescent="0.25">
      <c r="A3" t="s">
        <v>48</v>
      </c>
      <c r="B3" t="s">
        <v>49</v>
      </c>
    </row>
    <row r="4" spans="1:27" x14ac:dyDescent="0.25">
      <c r="A4" t="s">
        <v>50</v>
      </c>
      <c r="B4" t="s">
        <v>51</v>
      </c>
    </row>
    <row r="5" spans="1:27" x14ac:dyDescent="0.25">
      <c r="A5" t="s">
        <v>52</v>
      </c>
      <c r="B5" t="s">
        <v>51</v>
      </c>
    </row>
    <row r="6" spans="1:27" x14ac:dyDescent="0.25">
      <c r="A6" t="s">
        <v>53</v>
      </c>
      <c r="B6" t="s">
        <v>51</v>
      </c>
      <c r="U6" s="6">
        <v>45950</v>
      </c>
    </row>
  </sheetData>
  <conditionalFormatting sqref="B2 B1:AA1">
    <cfRule type="duplicateValues" dxfId="0" priority="19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2025-07-31T16:58:21Z</dcterms:created>
  <dcterms:modified xsi:type="dcterms:W3CDTF">2025-09-03T18:38:16Z</dcterms:modified>
</cp:coreProperties>
</file>